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sve\Desktop\Hack Club 2026\blueprint\blueprint_projects\"/>
    </mc:Choice>
  </mc:AlternateContent>
  <xr:revisionPtr revIDLastSave="0" documentId="13_ncr:1_{73704A86-C4CA-4936-AFCB-D6388DD79F11}" xr6:coauthVersionLast="47" xr6:coauthVersionMax="47" xr10:uidLastSave="{00000000-0000-0000-0000-000000000000}"/>
  <bookViews>
    <workbookView xWindow="-103" yWindow="-103" windowWidth="22149" windowHeight="12549" xr2:uid="{D7131E9E-EFEB-4C66-A522-603917819A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23" i="1"/>
  <c r="F20" i="1"/>
  <c r="F15" i="1"/>
  <c r="F14" i="1"/>
  <c r="F13" i="1"/>
  <c r="F12" i="1"/>
  <c r="F6" i="1"/>
  <c r="F3" i="1"/>
  <c r="F4" i="1"/>
  <c r="F5" i="1"/>
  <c r="F7" i="1"/>
  <c r="F8" i="1"/>
  <c r="F9" i="1"/>
  <c r="F10" i="1"/>
  <c r="F11" i="1"/>
  <c r="F16" i="1"/>
  <c r="F17" i="1"/>
  <c r="F18" i="1"/>
  <c r="F19" i="1"/>
  <c r="F2" i="1"/>
</calcChain>
</file>

<file path=xl/sharedStrings.xml><?xml version="1.0" encoding="utf-8"?>
<sst xmlns="http://schemas.openxmlformats.org/spreadsheetml/2006/main" count="74" uniqueCount="38">
  <si>
    <t>Product</t>
  </si>
  <si>
    <t>Quantity</t>
  </si>
  <si>
    <t>Source</t>
  </si>
  <si>
    <t>Link</t>
  </si>
  <si>
    <t>ProMicro NRF52840</t>
  </si>
  <si>
    <t>Hongyan EC11H 7CE20P1ZD20</t>
  </si>
  <si>
    <t>Product Link</t>
  </si>
  <si>
    <t>Price (INR)</t>
  </si>
  <si>
    <t>EC11 Rotary Encoder Knob</t>
  </si>
  <si>
    <t>OLED Display (0.96 / 1.3 I2C)</t>
  </si>
  <si>
    <t>330Ω Resistors</t>
  </si>
  <si>
    <t>806kΩ Resistors</t>
  </si>
  <si>
    <t>2MΩ Resistors</t>
  </si>
  <si>
    <t>100µF Capacitors (0805)</t>
  </si>
  <si>
    <t>0.1µF Capacitors (0805)</t>
  </si>
  <si>
    <t>MX Mechanical Switches</t>
  </si>
  <si>
    <t>Keycaps (MX Compatible)</t>
  </si>
  <si>
    <t>1 set</t>
  </si>
  <si>
    <t>Robu</t>
  </si>
  <si>
    <t>WS2812B LEDs (Ring)</t>
  </si>
  <si>
    <t>Amazon</t>
  </si>
  <si>
    <t>Stackskb</t>
  </si>
  <si>
    <t>Hotswap Sockets (Kailh MX)</t>
  </si>
  <si>
    <t>Diodes (1N4148)</t>
  </si>
  <si>
    <t>Li-ion Battery</t>
  </si>
  <si>
    <t>Battery Connector (JST-SH 2-pin)</t>
  </si>
  <si>
    <t>TP4056 Charging Module</t>
  </si>
  <si>
    <t>Slide Switch (SS-12D03)</t>
  </si>
  <si>
    <t>PCB (Left + Right)</t>
  </si>
  <si>
    <t>Case (3D Printed)</t>
  </si>
  <si>
    <t>Screws</t>
  </si>
  <si>
    <t>Local</t>
  </si>
  <si>
    <t>6 (rings) or 90 (individual)</t>
  </si>
  <si>
    <t>75 (2 sets)</t>
  </si>
  <si>
    <t>8 x 10/pack (80 nos)</t>
  </si>
  <si>
    <t>Total</t>
  </si>
  <si>
    <t>TOTAL</t>
  </si>
  <si>
    <t>5 left + 5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</si>
</sst>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" fontId="2" fillId="0" borderId="0" xfId="1" applyNumberFormat="1" applyAlignment="1">
      <alignment vertical="center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4" fontId="4" fillId="0" borderId="0" xfId="0" applyNumberFormat="1" applyFont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in/Electronic-Spices-Tolerance-Through-Resistors/dp/B0BDDRD9DN" TargetMode="External"/><Relationship Id="rId13" Type="http://schemas.openxmlformats.org/officeDocument/2006/relationships/hyperlink" Target="https://stackskb.com/store/ttc-pokayoke-hotswap-sockets-v2-10000-cycles/" TargetMode="External"/><Relationship Id="rId18" Type="http://schemas.openxmlformats.org/officeDocument/2006/relationships/hyperlink" Target="https://robu.in/product/slide-switch-ss-12d03-1p2t/" TargetMode="External"/><Relationship Id="rId3" Type="http://schemas.openxmlformats.org/officeDocument/2006/relationships/hyperlink" Target="https://robu.in/product/potentiometer-knob-rotary-switch-cap-black-color-pack-of-5-pcs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robu.in/product/mcmf0w4ff8203a50-multicomp-pro-metal-film-resistor-820kohm-250mw-1/" TargetMode="External"/><Relationship Id="rId12" Type="http://schemas.openxmlformats.org/officeDocument/2006/relationships/hyperlink" Target="https://stackskb.com/store/veekos-gradient-keycaps-cherry-profile-135-keys/" TargetMode="External"/><Relationship Id="rId17" Type="http://schemas.openxmlformats.org/officeDocument/2006/relationships/hyperlink" Target="https://robu.in/product/tp4056-1a-li-ion-lithium-battery-charging-module-with-current-protection-type-c/" TargetMode="External"/><Relationship Id="rId2" Type="http://schemas.openxmlformats.org/officeDocument/2006/relationships/hyperlink" Target="https://robu.in/product/hongyan-ec11h-7ce20p1zd20-rotary-encoder-with-push-button-switch-vertical-plug-in-5-pin/" TargetMode="External"/><Relationship Id="rId16" Type="http://schemas.openxmlformats.org/officeDocument/2006/relationships/hyperlink" Target="https://robu.in/product/jst-sh-2-pin-connector-2mm-pitch/" TargetMode="External"/><Relationship Id="rId20" Type="http://schemas.openxmlformats.org/officeDocument/2006/relationships/hyperlink" Target="https://robu.in/product/3d-printing-service/" TargetMode="External"/><Relationship Id="rId1" Type="http://schemas.openxmlformats.org/officeDocument/2006/relationships/hyperlink" Target="https://robu.in/product/promicro-nrf52840-development-board/" TargetMode="External"/><Relationship Id="rId6" Type="http://schemas.openxmlformats.org/officeDocument/2006/relationships/hyperlink" Target="https://robu.in/product/330-ohm-0-25w-metal-film-resistor-pack-of-100/" TargetMode="External"/><Relationship Id="rId11" Type="http://schemas.openxmlformats.org/officeDocument/2006/relationships/hyperlink" Target="https://stackskb.com/store/akko-creamy-cyan-switch-pack-of-45-pre-order/" TargetMode="External"/><Relationship Id="rId5" Type="http://schemas.openxmlformats.org/officeDocument/2006/relationships/hyperlink" Target="https://robu.in/product/16bit-ws2812b-5050-rgb-led-built-in-full-color-driving-lights-circular-development-board/" TargetMode="External"/><Relationship Id="rId15" Type="http://schemas.openxmlformats.org/officeDocument/2006/relationships/hyperlink" Target="https://robu.in/product/nova-803450-1500mah-3-7v-lipo-battery-pack/" TargetMode="External"/><Relationship Id="rId10" Type="http://schemas.openxmlformats.org/officeDocument/2006/relationships/hyperlink" Target="https://robu.in/product/cc0805jrx7r9bb104-yageo-smd-multilayer-ceramic-capacitor-0-1-%C2%B5f-50-v-0805-2012-metric-%C2%B1-5-x7r-cc-series/" TargetMode="External"/><Relationship Id="rId19" Type="http://schemas.openxmlformats.org/officeDocument/2006/relationships/hyperlink" Target="https://robu.in/product/online-pcb-manufacturing-service/" TargetMode="External"/><Relationship Id="rId4" Type="http://schemas.openxmlformats.org/officeDocument/2006/relationships/hyperlink" Target="https://robu.in/product/0-96-inch-yellow-yellow-blue-oled-lcd-led-display-module/" TargetMode="External"/><Relationship Id="rId9" Type="http://schemas.openxmlformats.org/officeDocument/2006/relationships/hyperlink" Target="https://robu.in/product/cl21a107mqynnwe-samsang-6-3v-100uf-x5r-%C2%B120-0805-multilayer-ceramic-capacitors-mlcc-smd-smt-rohs/" TargetMode="External"/><Relationship Id="rId14" Type="http://schemas.openxmlformats.org/officeDocument/2006/relationships/hyperlink" Target="https://stackskb.com/store/1n4148-through-hole-dio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274C5-D04D-4867-B94B-F5B73F214740}">
  <dimension ref="A1:F27"/>
  <sheetViews>
    <sheetView tabSelected="1" workbookViewId="0">
      <selection activeCell="F22" sqref="F22"/>
    </sheetView>
  </sheetViews>
  <sheetFormatPr defaultRowHeight="14.6" x14ac:dyDescent="0.4"/>
  <cols>
    <col min="1" max="1" width="28.3828125" customWidth="1"/>
    <col min="2" max="2" width="26.23046875" customWidth="1"/>
    <col min="3" max="3" width="18.07421875" customWidth="1"/>
    <col min="4" max="4" width="25.3046875" customWidth="1"/>
    <col min="5" max="5" width="12.3046875" customWidth="1"/>
    <col min="6" max="6" width="17" customWidth="1"/>
    <col min="7" max="7" width="19.69140625" customWidth="1"/>
  </cols>
  <sheetData>
    <row r="1" spans="1:6" x14ac:dyDescent="0.4">
      <c r="A1" s="4" t="s">
        <v>0</v>
      </c>
      <c r="B1" s="5" t="s">
        <v>1</v>
      </c>
      <c r="C1" s="5" t="s">
        <v>2</v>
      </c>
      <c r="D1" s="5" t="s">
        <v>7</v>
      </c>
      <c r="E1" s="5" t="s">
        <v>3</v>
      </c>
      <c r="F1" s="4" t="s">
        <v>35</v>
      </c>
    </row>
    <row r="2" spans="1:6" x14ac:dyDescent="0.4">
      <c r="A2" s="2" t="s">
        <v>4</v>
      </c>
      <c r="B2" s="8">
        <v>2</v>
      </c>
      <c r="C2" s="8" t="s">
        <v>18</v>
      </c>
      <c r="D2" s="10">
        <v>758</v>
      </c>
      <c r="E2" s="9" t="s">
        <v>6</v>
      </c>
      <c r="F2" s="3">
        <f>B2*D2</f>
        <v>1516</v>
      </c>
    </row>
    <row r="3" spans="1:6" x14ac:dyDescent="0.4">
      <c r="A3" s="2" t="s">
        <v>5</v>
      </c>
      <c r="B3" s="8">
        <v>2</v>
      </c>
      <c r="C3" s="8" t="s">
        <v>18</v>
      </c>
      <c r="D3" s="10">
        <v>55</v>
      </c>
      <c r="E3" s="9" t="s">
        <v>6</v>
      </c>
      <c r="F3" s="3">
        <f t="shared" ref="F3:F19" si="0">B3*D3</f>
        <v>110</v>
      </c>
    </row>
    <row r="4" spans="1:6" x14ac:dyDescent="0.4">
      <c r="A4" s="2" t="s">
        <v>8</v>
      </c>
      <c r="B4" s="8">
        <v>2</v>
      </c>
      <c r="C4" s="8" t="s">
        <v>18</v>
      </c>
      <c r="D4" s="10">
        <v>29</v>
      </c>
      <c r="E4" s="9" t="s">
        <v>6</v>
      </c>
      <c r="F4" s="3">
        <f t="shared" si="0"/>
        <v>58</v>
      </c>
    </row>
    <row r="5" spans="1:6" x14ac:dyDescent="0.4">
      <c r="A5" s="2" t="s">
        <v>9</v>
      </c>
      <c r="B5" s="8">
        <v>2</v>
      </c>
      <c r="C5" s="8" t="s">
        <v>18</v>
      </c>
      <c r="D5" s="10">
        <v>156</v>
      </c>
      <c r="E5" s="9" t="s">
        <v>6</v>
      </c>
      <c r="F5" s="3">
        <f t="shared" si="0"/>
        <v>312</v>
      </c>
    </row>
    <row r="6" spans="1:6" x14ac:dyDescent="0.4">
      <c r="A6" s="2" t="s">
        <v>19</v>
      </c>
      <c r="B6" s="8" t="s">
        <v>32</v>
      </c>
      <c r="C6" s="8" t="s">
        <v>18</v>
      </c>
      <c r="D6" s="10">
        <v>91</v>
      </c>
      <c r="E6" s="9" t="s">
        <v>6</v>
      </c>
      <c r="F6" s="3">
        <f>6*D6</f>
        <v>546</v>
      </c>
    </row>
    <row r="7" spans="1:6" x14ac:dyDescent="0.4">
      <c r="A7" s="2" t="s">
        <v>10</v>
      </c>
      <c r="B7" s="8">
        <v>4</v>
      </c>
      <c r="C7" s="8" t="s">
        <v>18</v>
      </c>
      <c r="D7" s="10">
        <v>0.28999999999999998</v>
      </c>
      <c r="E7" s="9" t="s">
        <v>6</v>
      </c>
      <c r="F7" s="3">
        <f t="shared" si="0"/>
        <v>1.1599999999999999</v>
      </c>
    </row>
    <row r="8" spans="1:6" x14ac:dyDescent="0.4">
      <c r="A8" s="2" t="s">
        <v>11</v>
      </c>
      <c r="B8" s="8">
        <v>2</v>
      </c>
      <c r="C8" s="8" t="s">
        <v>18</v>
      </c>
      <c r="D8" s="10">
        <v>0.62</v>
      </c>
      <c r="E8" s="9" t="s">
        <v>6</v>
      </c>
      <c r="F8" s="3">
        <f t="shared" si="0"/>
        <v>1.24</v>
      </c>
    </row>
    <row r="9" spans="1:6" x14ac:dyDescent="0.4">
      <c r="A9" s="2" t="s">
        <v>12</v>
      </c>
      <c r="B9" s="8">
        <v>2</v>
      </c>
      <c r="C9" s="8" t="s">
        <v>20</v>
      </c>
      <c r="D9" s="10">
        <v>99</v>
      </c>
      <c r="E9" s="9" t="s">
        <v>6</v>
      </c>
      <c r="F9" s="3">
        <f t="shared" si="0"/>
        <v>198</v>
      </c>
    </row>
    <row r="10" spans="1:6" x14ac:dyDescent="0.4">
      <c r="A10" s="2" t="s">
        <v>13</v>
      </c>
      <c r="B10" s="8">
        <v>6</v>
      </c>
      <c r="C10" s="8" t="s">
        <v>18</v>
      </c>
      <c r="D10" s="10">
        <v>45</v>
      </c>
      <c r="E10" s="9" t="s">
        <v>6</v>
      </c>
      <c r="F10" s="3">
        <f t="shared" si="0"/>
        <v>270</v>
      </c>
    </row>
    <row r="11" spans="1:6" x14ac:dyDescent="0.4">
      <c r="A11" s="2" t="s">
        <v>14</v>
      </c>
      <c r="B11" s="8">
        <v>95</v>
      </c>
      <c r="C11" s="8" t="s">
        <v>18</v>
      </c>
      <c r="D11" s="10">
        <v>1.53</v>
      </c>
      <c r="E11" s="9" t="s">
        <v>6</v>
      </c>
      <c r="F11" s="3">
        <f t="shared" si="0"/>
        <v>145.35</v>
      </c>
    </row>
    <row r="12" spans="1:6" x14ac:dyDescent="0.4">
      <c r="A12" s="2" t="s">
        <v>15</v>
      </c>
      <c r="B12" s="8" t="s">
        <v>33</v>
      </c>
      <c r="C12" s="8" t="s">
        <v>21</v>
      </c>
      <c r="D12" s="11">
        <v>1199</v>
      </c>
      <c r="E12" s="9" t="s">
        <v>6</v>
      </c>
      <c r="F12" s="3">
        <f>2*D12</f>
        <v>2398</v>
      </c>
    </row>
    <row r="13" spans="1:6" x14ac:dyDescent="0.4">
      <c r="A13" s="2" t="s">
        <v>16</v>
      </c>
      <c r="B13" s="8" t="s">
        <v>17</v>
      </c>
      <c r="C13" s="8" t="s">
        <v>21</v>
      </c>
      <c r="D13" s="11">
        <v>1299</v>
      </c>
      <c r="E13" s="9" t="s">
        <v>6</v>
      </c>
      <c r="F13" s="6">
        <f>D13</f>
        <v>1299</v>
      </c>
    </row>
    <row r="14" spans="1:6" x14ac:dyDescent="0.4">
      <c r="A14" s="2" t="s">
        <v>22</v>
      </c>
      <c r="B14" s="8">
        <v>75</v>
      </c>
      <c r="C14" s="8" t="s">
        <v>21</v>
      </c>
      <c r="D14" s="10">
        <v>10</v>
      </c>
      <c r="E14" s="9" t="s">
        <v>6</v>
      </c>
      <c r="F14" s="3">
        <f>B14*D14</f>
        <v>750</v>
      </c>
    </row>
    <row r="15" spans="1:6" x14ac:dyDescent="0.4">
      <c r="A15" s="2" t="s">
        <v>23</v>
      </c>
      <c r="B15" s="8" t="s">
        <v>34</v>
      </c>
      <c r="C15" s="8" t="s">
        <v>21</v>
      </c>
      <c r="D15" s="10">
        <v>15</v>
      </c>
      <c r="E15" s="9" t="s">
        <v>6</v>
      </c>
      <c r="F15" s="3">
        <f>8*D15</f>
        <v>120</v>
      </c>
    </row>
    <row r="16" spans="1:6" x14ac:dyDescent="0.4">
      <c r="A16" s="2" t="s">
        <v>24</v>
      </c>
      <c r="B16" s="8">
        <v>2</v>
      </c>
      <c r="C16" s="8" t="s">
        <v>18</v>
      </c>
      <c r="D16" s="10">
        <v>251</v>
      </c>
      <c r="E16" s="9" t="s">
        <v>6</v>
      </c>
      <c r="F16" s="3">
        <f t="shared" si="0"/>
        <v>502</v>
      </c>
    </row>
    <row r="17" spans="1:6" x14ac:dyDescent="0.4">
      <c r="A17" s="2" t="s">
        <v>25</v>
      </c>
      <c r="B17" s="8">
        <v>2</v>
      </c>
      <c r="C17" s="8" t="s">
        <v>18</v>
      </c>
      <c r="D17" s="10">
        <v>1.42</v>
      </c>
      <c r="E17" s="9" t="s">
        <v>6</v>
      </c>
      <c r="F17" s="3">
        <f t="shared" si="0"/>
        <v>2.84</v>
      </c>
    </row>
    <row r="18" spans="1:6" x14ac:dyDescent="0.4">
      <c r="A18" s="2" t="s">
        <v>26</v>
      </c>
      <c r="B18" s="8">
        <v>2</v>
      </c>
      <c r="C18" s="8" t="s">
        <v>18</v>
      </c>
      <c r="D18" s="10">
        <v>14</v>
      </c>
      <c r="E18" s="9" t="s">
        <v>6</v>
      </c>
      <c r="F18" s="3">
        <f t="shared" si="0"/>
        <v>28</v>
      </c>
    </row>
    <row r="19" spans="1:6" x14ac:dyDescent="0.4">
      <c r="A19" s="2" t="s">
        <v>27</v>
      </c>
      <c r="B19" s="8">
        <v>2</v>
      </c>
      <c r="C19" s="8" t="s">
        <v>18</v>
      </c>
      <c r="D19" s="10">
        <v>3</v>
      </c>
      <c r="E19" s="9" t="s">
        <v>6</v>
      </c>
      <c r="F19" s="3">
        <f t="shared" si="0"/>
        <v>6</v>
      </c>
    </row>
    <row r="20" spans="1:6" x14ac:dyDescent="0.4">
      <c r="A20" s="2" t="s">
        <v>28</v>
      </c>
      <c r="B20" s="8" t="s">
        <v>37</v>
      </c>
      <c r="C20" s="8" t="s">
        <v>18</v>
      </c>
      <c r="D20" s="10">
        <v>5000</v>
      </c>
      <c r="E20" s="9" t="s">
        <v>6</v>
      </c>
      <c r="F20" s="3">
        <f>D20</f>
        <v>5000</v>
      </c>
    </row>
    <row r="21" spans="1:6" x14ac:dyDescent="0.4">
      <c r="A21" s="2" t="s">
        <v>29</v>
      </c>
      <c r="B21" s="8">
        <v>1</v>
      </c>
      <c r="C21" s="8" t="s">
        <v>18</v>
      </c>
      <c r="D21" s="10">
        <v>530</v>
      </c>
      <c r="E21" s="9" t="s">
        <v>6</v>
      </c>
      <c r="F21" s="10">
        <f>D21</f>
        <v>530</v>
      </c>
    </row>
    <row r="22" spans="1:6" x14ac:dyDescent="0.4">
      <c r="A22" s="2" t="s">
        <v>30</v>
      </c>
      <c r="B22" s="8">
        <v>1</v>
      </c>
      <c r="C22" s="8" t="s">
        <v>31</v>
      </c>
      <c r="D22" s="10"/>
      <c r="E22" s="8"/>
      <c r="F22" s="2"/>
    </row>
    <row r="23" spans="1:6" x14ac:dyDescent="0.4">
      <c r="B23" s="1"/>
      <c r="C23" s="1"/>
      <c r="D23" s="1"/>
      <c r="E23" s="7" t="s">
        <v>36</v>
      </c>
      <c r="F23">
        <f>SUM(F2:F21)</f>
        <v>13793.59</v>
      </c>
    </row>
    <row r="24" spans="1:6" x14ac:dyDescent="0.4">
      <c r="B24" s="1"/>
      <c r="C24" s="1"/>
      <c r="D24" s="1"/>
      <c r="E24" s="1"/>
    </row>
    <row r="25" spans="1:6" x14ac:dyDescent="0.4">
      <c r="B25" s="1"/>
      <c r="C25" s="1"/>
      <c r="D25" s="1"/>
      <c r="E25" s="1"/>
    </row>
    <row r="26" spans="1:6" x14ac:dyDescent="0.4">
      <c r="B26" s="1"/>
      <c r="C26" s="1"/>
      <c r="D26" s="1"/>
      <c r="E26" s="1"/>
    </row>
    <row r="27" spans="1:6" x14ac:dyDescent="0.4">
      <c r="B27" s="1"/>
      <c r="C27" s="1"/>
      <c r="D27" s="1"/>
      <c r="E27" s="1"/>
    </row>
  </sheetData>
  <hyperlinks>
    <hyperlink ref="E2" r:id="rId1" display="https://robu.in/product/promicro-nrf52840-development-board/" xr:uid="{8340C7B4-9557-4E84-BF93-A84178D9DB35}"/>
    <hyperlink ref="E3" r:id="rId2" display="https://robu.in/product/hongyan-ec11h-7ce20p1zd20-rotary-encoder-with-push-button-switch-vertical-plug-in-5-pin/" xr:uid="{0E45EC16-1A9C-471B-A90F-DA14CB828926}"/>
    <hyperlink ref="E4" r:id="rId3" display="https://robu.in/product/potentiometer-knob-rotary-switch-cap-black-color-pack-of-5-pcs/" xr:uid="{C6C61AF3-5C8D-49CE-8B2B-7D8D20FFE227}"/>
    <hyperlink ref="E5" r:id="rId4" display="https://robu.in/product/0-96-inch-yellow-yellow-blue-oled-lcd-led-display-module/" xr:uid="{98026234-B7A3-4891-933C-8D945B8C667A}"/>
    <hyperlink ref="E6" r:id="rId5" display="https://robu.in/product/16bit-ws2812b-5050-rgb-led-built-in-full-color-driving-lights-circular-development-board/" xr:uid="{AB45F1EB-B482-4476-A4F7-0A3785057ED8}"/>
    <hyperlink ref="E7" r:id="rId6" display="https://robu.in/product/330-ohm-0-25w-metal-film-resistor-pack-of-100/" xr:uid="{13750CCC-9A96-48DB-8C13-D18655AA6C20}"/>
    <hyperlink ref="E8" r:id="rId7" display="https://robu.in/product/mcmf0w4ff8203a50-multicomp-pro-metal-film-resistor-820kohm-250mw-1/" xr:uid="{533A4FDF-AE5E-4CDA-8EDD-DA2338C61FBF}"/>
    <hyperlink ref="E9" r:id="rId8" display="https://www.amazon.in/Electronic-Spices-Tolerance-Through-Resistors/dp/B0BDDRD9DN" xr:uid="{9A9DBADD-BB5D-4582-BC0C-C8A6E83188B1}"/>
    <hyperlink ref="E10" r:id="rId9" display="https://robu.in/product/cl21a107mqynnwe-samsang-6-3v-100uf-x5r-%C2%B120-0805-multilayer-ceramic-capacitors-mlcc-smd-smt-rohs/" xr:uid="{E4D35611-5152-4BE8-BEB5-58E9699A55D6}"/>
    <hyperlink ref="E11" r:id="rId10" display="https://robu.in/product/cc0805jrx7r9bb104-yageo-smd-multilayer-ceramic-capacitor-0-1-%C2%B5f-50-v-0805-2012-metric-%C2%B1-5-x7r-cc-series/" xr:uid="{452C37F8-B50A-42F2-8F51-BE9B5070995D}"/>
    <hyperlink ref="E12" r:id="rId11" display="https://stackskb.com/store/akko-creamy-cyan-switch-pack-of-45-pre-order/" xr:uid="{B8BAA340-95E2-4BAB-BABD-DA077BAF83A5}"/>
    <hyperlink ref="E13" r:id="rId12" display="https://stackskb.com/store/veekos-gradient-keycaps-cherry-profile-135-keys/" xr:uid="{BA776530-2D82-4845-B663-AFAA1DD7048B}"/>
    <hyperlink ref="E14" r:id="rId13" display="https://stackskb.com/store/ttc-pokayoke-hotswap-sockets-v2-10000-cycles/" xr:uid="{E395F011-2987-494A-80C2-CB5E74B15595}"/>
    <hyperlink ref="E15" r:id="rId14" display="https://stackskb.com/store/1n4148-through-hole-diode/" xr:uid="{1752D0CB-27AD-43D6-BFD7-A3432AC57699}"/>
    <hyperlink ref="E16" r:id="rId15" display="https://robu.in/product/nova-803450-1500mah-3-7v-lipo-battery-pack/" xr:uid="{3A0A80FB-3DD9-458F-8541-C5E6520F4901}"/>
    <hyperlink ref="E17" r:id="rId16" display="https://robu.in/product/jst-sh-2-pin-connector-2mm-pitch/" xr:uid="{CB2B6FD8-6C2F-4BDE-A051-C83532EB4549}"/>
    <hyperlink ref="E18" r:id="rId17" display="https://robu.in/product/tp4056-1a-li-ion-lithium-battery-charging-module-with-current-protection-type-c/" xr:uid="{B25A1E9B-BAA5-400E-A6AD-BB9C6D027242}"/>
    <hyperlink ref="E19" r:id="rId18" display="https://robu.in/product/slide-switch-ss-12d03-1p2t/" xr:uid="{F42FA888-0D23-4757-8D57-9E7C24DED2BF}"/>
    <hyperlink ref="E20" r:id="rId19" display="https://robu.in/product/online-pcb-manufacturing-service/" xr:uid="{1B715CF9-8C16-4E9A-BA47-112707B7FB4E}"/>
    <hyperlink ref="E21" r:id="rId20" display="https://robu.in/product/3d-printing-service/" xr:uid="{13E33F18-B36B-454C-BF36-1569E1A312DC}"/>
  </hyperlinks>
  <pageMargins left="0.7" right="0.7" top="0.75" bottom="0.75" header="0.3" footer="0.3"/>
  <pageSetup paperSize="9"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Ξ Π U 🌕</dc:creator>
  <cp:lastModifiedBy>V Ξ Π U 🌕</cp:lastModifiedBy>
  <dcterms:created xsi:type="dcterms:W3CDTF">2026-03-20T20:12:40Z</dcterms:created>
  <dcterms:modified xsi:type="dcterms:W3CDTF">2026-03-22T15:22:48Z</dcterms:modified>
</cp:coreProperties>
</file>